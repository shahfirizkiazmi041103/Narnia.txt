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PPY COM\Downloads\"/>
    </mc:Choice>
  </mc:AlternateContent>
  <xr:revisionPtr revIDLastSave="0" documentId="13_ncr:1_{9700C67B-EB46-43AA-81B8-43BE46074AE9}" xr6:coauthVersionLast="47" xr6:coauthVersionMax="47" xr10:uidLastSave="{00000000-0000-0000-0000-000000000000}"/>
  <bookViews>
    <workbookView xWindow="-108" yWindow="-108" windowWidth="23256" windowHeight="12456" xr2:uid="{B9567B18-A3AA-40E7-9EC1-AF29682B4D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1" l="1"/>
  <c r="H34" i="1"/>
  <c r="B12" i="1"/>
  <c r="H43" i="1"/>
  <c r="H42" i="1"/>
  <c r="H41" i="1"/>
  <c r="H40" i="1"/>
  <c r="H39" i="1"/>
  <c r="H38" i="1"/>
  <c r="H37" i="1"/>
  <c r="H36" i="1"/>
  <c r="H35" i="1"/>
  <c r="J34" i="1" s="1" a="1"/>
  <c r="J34" i="1" s="1"/>
  <c r="I16" i="1"/>
  <c r="I17" i="1"/>
  <c r="I18" i="1"/>
  <c r="I19" i="1"/>
  <c r="I20" i="1"/>
  <c r="I21" i="1"/>
  <c r="I22" i="1"/>
  <c r="I23" i="1"/>
  <c r="I24" i="1"/>
  <c r="I15" i="1"/>
  <c r="B14" i="1"/>
  <c r="F2" i="1"/>
  <c r="B18" i="1"/>
  <c r="B19" i="1"/>
  <c r="B16" i="1"/>
  <c r="F3" i="1"/>
  <c r="F4" i="1"/>
  <c r="F5" i="1"/>
  <c r="F6" i="1"/>
  <c r="F7" i="1"/>
  <c r="F8" i="1"/>
  <c r="F9" i="1"/>
  <c r="F10" i="1"/>
  <c r="F11" i="1"/>
  <c r="B15" i="1"/>
  <c r="B13" i="1"/>
  <c r="D34" i="1" s="1"/>
  <c r="K16" i="1"/>
  <c r="K17" i="1"/>
  <c r="K18" i="1"/>
  <c r="K19" i="1"/>
  <c r="K20" i="1"/>
  <c r="K21" i="1"/>
  <c r="K22" i="1"/>
  <c r="K23" i="1"/>
  <c r="K24" i="1"/>
  <c r="K15" i="1"/>
  <c r="J16" i="1"/>
  <c r="J17" i="1"/>
  <c r="J18" i="1"/>
  <c r="J19" i="1"/>
  <c r="J20" i="1"/>
  <c r="J21" i="1"/>
  <c r="J22" i="1"/>
  <c r="J23" i="1"/>
  <c r="J24" i="1"/>
  <c r="J15" i="1"/>
  <c r="I2" i="1"/>
  <c r="K3" i="1"/>
  <c r="K4" i="1"/>
  <c r="K5" i="1"/>
  <c r="K6" i="1"/>
  <c r="K7" i="1"/>
  <c r="K8" i="1"/>
  <c r="K9" i="1"/>
  <c r="K10" i="1"/>
  <c r="K11" i="1"/>
  <c r="K2" i="1"/>
  <c r="J2" i="1"/>
  <c r="J3" i="1"/>
  <c r="J4" i="1"/>
  <c r="J5" i="1"/>
  <c r="J6" i="1"/>
  <c r="J7" i="1"/>
  <c r="J8" i="1"/>
  <c r="J9" i="1"/>
  <c r="J10" i="1"/>
  <c r="J11" i="1"/>
  <c r="I9" i="1"/>
  <c r="I10" i="1"/>
  <c r="I11" i="1"/>
  <c r="I3" i="1"/>
  <c r="I4" i="1"/>
  <c r="I5" i="1"/>
  <c r="I6" i="1"/>
  <c r="I7" i="1"/>
  <c r="I8" i="1"/>
  <c r="N2" i="1" l="1"/>
  <c r="B20" i="1"/>
  <c r="B22" i="1" s="1"/>
  <c r="G19" i="1"/>
  <c r="N8" i="1"/>
  <c r="B21" i="1"/>
  <c r="N4" i="1"/>
  <c r="N3" i="1"/>
  <c r="G22" i="1"/>
  <c r="N5" i="1"/>
  <c r="G15" i="1"/>
  <c r="G18" i="1"/>
  <c r="G20" i="1"/>
  <c r="G16" i="1"/>
  <c r="G23" i="1"/>
  <c r="G21" i="1"/>
  <c r="G17" i="1"/>
  <c r="N7" i="1"/>
  <c r="N11" i="1"/>
  <c r="N10" i="1"/>
  <c r="N9" i="1"/>
  <c r="N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<sst xmlns="http://schemas.openxmlformats.org/spreadsheetml/2006/main" count="99" uniqueCount="56">
  <si>
    <t>Warna</t>
  </si>
  <si>
    <t>Berat (kg)</t>
  </si>
  <si>
    <t>Kaki</t>
  </si>
  <si>
    <t>Suara</t>
  </si>
  <si>
    <t>Jenis</t>
  </si>
  <si>
    <t>Coklat</t>
  </si>
  <si>
    <t>Gongong</t>
  </si>
  <si>
    <t>Anjing</t>
  </si>
  <si>
    <t>Hitam</t>
  </si>
  <si>
    <t>Meong</t>
  </si>
  <si>
    <t>Kucing</t>
  </si>
  <si>
    <t>Putih</t>
  </si>
  <si>
    <t>Cit-cit</t>
  </si>
  <si>
    <t>Burung</t>
  </si>
  <si>
    <t>Moo</t>
  </si>
  <si>
    <t>Sapi</t>
  </si>
  <si>
    <t>Hehehe</t>
  </si>
  <si>
    <t>Kuda</t>
  </si>
  <si>
    <t>klasifikasi Berat</t>
  </si>
  <si>
    <t>?</t>
  </si>
  <si>
    <t>Warna Cokelat</t>
  </si>
  <si>
    <t>Warna Hitam</t>
  </si>
  <si>
    <t>Warna Putih</t>
  </si>
  <si>
    <t>Suara_Gongong</t>
  </si>
  <si>
    <t>Suara Meong</t>
  </si>
  <si>
    <t>Suara Cit - cit</t>
  </si>
  <si>
    <t>Normalisasi</t>
  </si>
  <si>
    <t>Berat</t>
  </si>
  <si>
    <t>Max Berat</t>
  </si>
  <si>
    <t>Min Berat</t>
  </si>
  <si>
    <t>Max kaki</t>
  </si>
  <si>
    <t>Min  kaki</t>
  </si>
  <si>
    <t>Rata = Berat</t>
  </si>
  <si>
    <t>Standar Deviasi</t>
  </si>
  <si>
    <t>Quartil 1</t>
  </si>
  <si>
    <t>Quartil 3</t>
  </si>
  <si>
    <t>Hitung IQR</t>
  </si>
  <si>
    <t>Hitung  Batas bawah outlier</t>
  </si>
  <si>
    <t>Hitung Batas Atas outlier</t>
  </si>
  <si>
    <t>Atribut</t>
  </si>
  <si>
    <t>Nilai</t>
  </si>
  <si>
    <t xml:space="preserve">Data Test </t>
  </si>
  <si>
    <t>Berat (kg) (normalized)</t>
  </si>
  <si>
    <t>Kaki (normalized)</t>
  </si>
  <si>
    <t>Tabel Test setelah Normalisasi</t>
  </si>
  <si>
    <t>Euclidean Distance</t>
  </si>
  <si>
    <t>TABEL HASIL KNN</t>
  </si>
  <si>
    <t>1. Kategori Terdekat:</t>
  </si>
  <si>
    <r>
      <t xml:space="preserve">Data uji terdekat dengan kategori </t>
    </r>
    <r>
      <rPr>
        <b/>
        <sz val="11"/>
        <color theme="1"/>
        <rFont val="Calibri"/>
        <family val="2"/>
        <scheme val="minor"/>
      </rPr>
      <t>Sapi</t>
    </r>
    <r>
      <rPr>
        <sz val="11"/>
        <color theme="1"/>
        <rFont val="Calibri"/>
        <family val="2"/>
        <scheme val="minor"/>
      </rPr>
      <t xml:space="preserve"> dengan jarak </t>
    </r>
    <r>
      <rPr>
        <b/>
        <sz val="11"/>
        <color theme="1"/>
        <rFont val="Calibri"/>
        <family val="2"/>
        <scheme val="minor"/>
      </rPr>
      <t>0,083752</t>
    </r>
    <r>
      <rPr>
        <sz val="11"/>
        <color theme="1"/>
        <rFont val="Calibri"/>
        <family val="2"/>
        <scheme val="minor"/>
      </rPr>
      <t>. Ini menunjukkan bahwa data uji paling mirip dengan entitas yang diklasifikasikan sebagai Sapi.</t>
    </r>
  </si>
  <si>
    <t>2. Jarak yang Signifikan:</t>
  </si>
  <si>
    <r>
      <t xml:space="preserve">Jarak-jarak di bawah </t>
    </r>
    <r>
      <rPr>
        <b/>
        <sz val="11"/>
        <color theme="1"/>
        <rFont val="Calibri"/>
        <family val="2"/>
        <scheme val="minor"/>
      </rPr>
      <t>1,5</t>
    </r>
    <r>
      <rPr>
        <sz val="11"/>
        <color theme="1"/>
        <rFont val="Calibri"/>
        <family val="2"/>
        <scheme val="minor"/>
      </rPr>
      <t xml:space="preserve"> menunjukkan bahwa kategori Sapi dan Kuda adalah yang paling mendekati data uji, sedangkan Anjing dan Kucing memiliki jarak yang lebih jauh.</t>
    </r>
  </si>
  <si>
    <t>3. Prediksi Kategori:</t>
  </si>
  <si>
    <r>
      <t xml:space="preserve">Berdasarkan hasil k-NN, data uji kemungkinan besar akan diklasifikasikan sebagai </t>
    </r>
    <r>
      <rPr>
        <b/>
        <sz val="11"/>
        <color theme="1"/>
        <rFont val="Calibri"/>
        <family val="2"/>
        <scheme val="minor"/>
      </rPr>
      <t>Sapi</t>
    </r>
    <r>
      <rPr>
        <sz val="11"/>
        <color theme="1"/>
        <rFont val="Calibri"/>
        <family val="2"/>
        <scheme val="minor"/>
      </rPr>
      <t xml:space="preserve"> karena memiliki dua entri dengan jarak terdekat (0,083752 dan 1,0310818) dibandingkan dengan kategori lainnya.</t>
    </r>
  </si>
  <si>
    <t>4. Rekomendasi:</t>
  </si>
  <si>
    <r>
      <t xml:space="preserve">Jika menggunakan </t>
    </r>
    <r>
      <rPr>
        <b/>
        <sz val="11"/>
        <color theme="1"/>
        <rFont val="Calibri"/>
        <family val="2"/>
        <scheme val="minor"/>
      </rPr>
      <t>k=3</t>
    </r>
    <r>
      <rPr>
        <sz val="11"/>
        <color theme="1"/>
        <rFont val="Calibri"/>
        <family val="2"/>
        <scheme val="minor"/>
      </rPr>
      <t xml:space="preserve"> (3 tetangga terdekat), maka prediksi akan mengacu pada dua Sapi dan satu Kuda. Dengan demikian, </t>
    </r>
    <r>
      <rPr>
        <b/>
        <sz val="11"/>
        <color theme="1"/>
        <rFont val="Calibri"/>
        <family val="2"/>
        <scheme val="minor"/>
      </rPr>
      <t>Sapi</t>
    </r>
    <r>
      <rPr>
        <sz val="11"/>
        <color theme="1"/>
        <rFont val="Calibri"/>
        <family val="2"/>
        <scheme val="minor"/>
      </rPr>
      <t xml:space="preserve"> tetap menjadi kategori yang paling kuat untuk klasifikasi data uji ini.</t>
    </r>
  </si>
  <si>
    <t>kesimpulan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</si>
</sst>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434343"/>
      <name val="Roboto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0" borderId="0" xfId="0" applyFont="1" applyAlignment="1">
      <alignment vertical="center"/>
    </xf>
    <xf numFmtId="0" fontId="1" fillId="5" borderId="0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0" fillId="0" borderId="1" xfId="0" applyBorder="1"/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vertical="center" wrapText="1"/>
    </xf>
    <xf numFmtId="0" fontId="0" fillId="6" borderId="1" xfId="0" applyFill="1" applyBorder="1"/>
    <xf numFmtId="0" fontId="0" fillId="7" borderId="1" xfId="0" applyFill="1" applyBorder="1"/>
    <xf numFmtId="0" fontId="0" fillId="7" borderId="3" xfId="0" applyFill="1" applyBorder="1"/>
    <xf numFmtId="0" fontId="2" fillId="3" borderId="0" xfId="0" applyFont="1" applyFill="1" applyBorder="1" applyAlignment="1">
      <alignment vertical="center" wrapText="1"/>
    </xf>
    <xf numFmtId="0" fontId="0" fillId="0" borderId="0" xfId="0" applyBorder="1"/>
    <xf numFmtId="0" fontId="2" fillId="4" borderId="0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0" fillId="7" borderId="0" xfId="0" applyFill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0" borderId="0" xfId="0"/>
    <xf numFmtId="0" fontId="6" fillId="0" borderId="0" xfId="0" applyFont="1"/>
    <xf numFmtId="0" fontId="2" fillId="3" borderId="0" xfId="0" applyFont="1" applyFill="1" applyBorder="1" applyAlignment="1">
      <alignment horizontal="right" vertical="center" wrapText="1"/>
    </xf>
    <xf numFmtId="0" fontId="2" fillId="4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vertical="center" wrapText="1"/>
    </xf>
    <xf numFmtId="0" fontId="6" fillId="0" borderId="0" xfId="0" applyFont="1"/>
    <xf numFmtId="0" fontId="6" fillId="0" borderId="0" xfId="0" applyFont="1" applyBorder="1"/>
    <xf numFmtId="0" fontId="7" fillId="0" borderId="0" xfId="0" applyFont="1" applyAlignment="1">
      <alignment wrapText="1"/>
    </xf>
    <xf numFmtId="0" fontId="0" fillId="0" borderId="0" xfId="0" applyAlignment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E6CE9-1AE8-4141-8755-3DD5DBACA95B}">
  <dimension ref="A1:AF70"/>
  <sheetViews>
    <sheetView tabSelected="1" topLeftCell="A3" zoomScale="115" zoomScaleNormal="115" workbookViewId="0">
      <selection activeCell="B59" sqref="B59"/>
    </sheetView>
  </sheetViews>
  <sheetFormatPr defaultRowHeight="14.4"/>
  <cols>
    <col min="1" max="1" width="24.33203125" bestFit="1" customWidth="1"/>
    <col min="2" max="2" width="13.109375" bestFit="1" customWidth="1"/>
    <col min="3" max="3" width="11" bestFit="1" customWidth="1"/>
    <col min="4" max="4" width="12.44140625" bestFit="1" customWidth="1"/>
    <col min="6" max="6" width="11.77734375" bestFit="1" customWidth="1"/>
    <col min="7" max="7" width="13.88671875" bestFit="1" customWidth="1"/>
    <col min="8" max="8" width="11.6640625" bestFit="1" customWidth="1"/>
    <col min="9" max="9" width="12.44140625" bestFit="1" customWidth="1"/>
    <col min="10" max="10" width="11.88671875" bestFit="1" customWidth="1"/>
    <col min="11" max="11" width="11.21875" bestFit="1" customWidth="1"/>
    <col min="13" max="13" width="10.5546875" bestFit="1" customWidth="1"/>
    <col min="17" max="17" width="11" bestFit="1" customWidth="1"/>
    <col min="18" max="18" width="9.44140625" customWidth="1"/>
  </cols>
  <sheetData>
    <row r="1" spans="1:14" ht="26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9" t="s">
        <v>18</v>
      </c>
      <c r="G1" s="2"/>
      <c r="H1" s="2"/>
      <c r="I1" s="10" t="s">
        <v>20</v>
      </c>
      <c r="J1" s="10" t="s">
        <v>21</v>
      </c>
      <c r="K1" s="10" t="s">
        <v>22</v>
      </c>
      <c r="M1" s="22" t="s">
        <v>26</v>
      </c>
      <c r="N1" s="22" t="s">
        <v>27</v>
      </c>
    </row>
    <row r="2" spans="1:14">
      <c r="A2" s="4" t="s">
        <v>5</v>
      </c>
      <c r="B2" s="5">
        <v>5</v>
      </c>
      <c r="C2" s="5">
        <v>4</v>
      </c>
      <c r="D2" s="4" t="s">
        <v>6</v>
      </c>
      <c r="E2" s="4" t="s">
        <v>7</v>
      </c>
      <c r="F2" s="6" t="str">
        <f>IF(B2&lt;=10,"Ringan", "Berat")</f>
        <v>Ringan</v>
      </c>
      <c r="I2" s="6">
        <f>IF(A2="Coklat",1, 0)</f>
        <v>1</v>
      </c>
      <c r="J2" s="6">
        <f>IF(A2="Hitam", 1, 0)</f>
        <v>0</v>
      </c>
      <c r="K2" s="6">
        <f>IF(A2="Putih", 1, 0)</f>
        <v>0</v>
      </c>
      <c r="M2" s="5">
        <v>5</v>
      </c>
      <c r="N2" s="6">
        <f>(B2 - $B$13) / ($B$12 - $B$13)</f>
        <v>7.8726968174204354E-2</v>
      </c>
    </row>
    <row r="3" spans="1:14">
      <c r="A3" s="7" t="s">
        <v>8</v>
      </c>
      <c r="B3" s="8">
        <v>0.5</v>
      </c>
      <c r="C3" s="8">
        <v>4</v>
      </c>
      <c r="D3" s="7" t="s">
        <v>9</v>
      </c>
      <c r="E3" s="7" t="s">
        <v>10</v>
      </c>
      <c r="F3" s="6" t="str">
        <f t="shared" ref="F3:F11" si="0">IF(B3&lt;=10,"Ringan", "Berat")</f>
        <v>Ringan</v>
      </c>
      <c r="I3" s="6">
        <f>IF(A3="Coklat",1, 0)</f>
        <v>0</v>
      </c>
      <c r="J3" s="6">
        <f>IF(A3="Hitam", 1, 0)</f>
        <v>1</v>
      </c>
      <c r="K3" s="6">
        <f>IF(A3="Putih", 1, 0)</f>
        <v>0</v>
      </c>
      <c r="M3" s="8">
        <v>0.5</v>
      </c>
      <c r="N3" s="6">
        <f>(B3 - $B$13) / ($B$12 - $B$13)</f>
        <v>3.3500837520938024E-3</v>
      </c>
    </row>
    <row r="4" spans="1:14">
      <c r="A4" s="4" t="s">
        <v>11</v>
      </c>
      <c r="B4" s="5">
        <v>0.3</v>
      </c>
      <c r="C4" s="5">
        <v>2</v>
      </c>
      <c r="D4" s="4" t="s">
        <v>12</v>
      </c>
      <c r="E4" s="4" t="s">
        <v>13</v>
      </c>
      <c r="F4" s="6" t="str">
        <f t="shared" si="0"/>
        <v>Ringan</v>
      </c>
      <c r="I4" s="6">
        <f>IF(A4="Coklat",1, 0)</f>
        <v>0</v>
      </c>
      <c r="J4" s="6">
        <f>IF(A4="Hitam", 1, 0)</f>
        <v>0</v>
      </c>
      <c r="K4" s="6">
        <f>IF(A4="Putih", 1, 0)</f>
        <v>1</v>
      </c>
      <c r="M4" s="5">
        <v>0.3</v>
      </c>
      <c r="N4" s="6">
        <f>(B4 - $B$13) / ($B$12 - $B$13)</f>
        <v>0</v>
      </c>
    </row>
    <row r="5" spans="1:14">
      <c r="A5" s="7" t="s">
        <v>5</v>
      </c>
      <c r="B5" s="8">
        <v>50</v>
      </c>
      <c r="C5" s="8">
        <v>4</v>
      </c>
      <c r="D5" s="7" t="s">
        <v>14</v>
      </c>
      <c r="E5" s="7" t="s">
        <v>15</v>
      </c>
      <c r="F5" s="6" t="str">
        <f t="shared" si="0"/>
        <v>Berat</v>
      </c>
      <c r="I5" s="6">
        <f>IF(A5="Coklat",1, 0)</f>
        <v>1</v>
      </c>
      <c r="J5" s="6">
        <f>IF(A5="Hitam", 1, 0)</f>
        <v>0</v>
      </c>
      <c r="K5" s="6">
        <f>IF(A5="Putih", 1, 0)</f>
        <v>0</v>
      </c>
      <c r="M5" s="8">
        <v>50</v>
      </c>
      <c r="N5" s="6">
        <f>(B5 - $B$13) / ($B$12 - $B$13)</f>
        <v>0.8324958123953099</v>
      </c>
    </row>
    <row r="6" spans="1:14">
      <c r="A6" s="4" t="s">
        <v>8</v>
      </c>
      <c r="B6" s="5">
        <v>60</v>
      </c>
      <c r="C6" s="5">
        <v>4</v>
      </c>
      <c r="D6" s="4" t="s">
        <v>14</v>
      </c>
      <c r="E6" s="4" t="s">
        <v>15</v>
      </c>
      <c r="F6" s="6" t="str">
        <f t="shared" si="0"/>
        <v>Berat</v>
      </c>
      <c r="I6" s="6">
        <f>IF(A6="Coklat",1, 0)</f>
        <v>0</v>
      </c>
      <c r="J6" s="6">
        <f>IF(A6="Hitam", 1, 0)</f>
        <v>1</v>
      </c>
      <c r="K6" s="6">
        <f>IF(A6="Putih", 1, 0)</f>
        <v>0</v>
      </c>
      <c r="M6" s="5">
        <v>60</v>
      </c>
      <c r="N6" s="6">
        <f>(B6 - $B$13) / ($B$12 - $B$13)</f>
        <v>1</v>
      </c>
    </row>
    <row r="7" spans="1:14">
      <c r="A7" s="7" t="s">
        <v>5</v>
      </c>
      <c r="B7" s="8">
        <v>30</v>
      </c>
      <c r="C7" s="8">
        <v>4</v>
      </c>
      <c r="D7" s="7" t="s">
        <v>16</v>
      </c>
      <c r="E7" s="7" t="s">
        <v>17</v>
      </c>
      <c r="F7" s="6" t="str">
        <f t="shared" si="0"/>
        <v>Berat</v>
      </c>
      <c r="I7" s="6">
        <f>IF(A7="Coklat",1, 0)</f>
        <v>1</v>
      </c>
      <c r="J7" s="6">
        <f>IF(A7="Hitam", 1, 0)</f>
        <v>0</v>
      </c>
      <c r="K7" s="6">
        <f>IF(A7="Putih", 1, 0)</f>
        <v>0</v>
      </c>
      <c r="M7" s="8">
        <v>30</v>
      </c>
      <c r="N7" s="6">
        <f>(B7 - $B$13) / ($B$12 - $B$13)</f>
        <v>0.49748743718592964</v>
      </c>
    </row>
    <row r="8" spans="1:14">
      <c r="A8" s="4" t="s">
        <v>11</v>
      </c>
      <c r="B8" s="5">
        <v>1</v>
      </c>
      <c r="C8" s="5">
        <v>4</v>
      </c>
      <c r="D8" s="4" t="s">
        <v>9</v>
      </c>
      <c r="E8" s="4" t="s">
        <v>10</v>
      </c>
      <c r="F8" s="6" t="str">
        <f t="shared" si="0"/>
        <v>Ringan</v>
      </c>
      <c r="I8" s="6">
        <f>IF(A8="Coklat",1, 0)</f>
        <v>0</v>
      </c>
      <c r="J8" s="6">
        <f>IF(A8="Hitam", 1, 0)</f>
        <v>0</v>
      </c>
      <c r="K8" s="6">
        <f>IF(A8="Putih", 1, 0)</f>
        <v>1</v>
      </c>
      <c r="M8" s="5">
        <v>1</v>
      </c>
      <c r="N8" s="6">
        <f>(B8 - $B$13) / ($B$12 - $B$13)</f>
        <v>1.1725293132328308E-2</v>
      </c>
    </row>
    <row r="9" spans="1:14">
      <c r="A9" s="7" t="s">
        <v>5</v>
      </c>
      <c r="B9" s="8">
        <v>0.4</v>
      </c>
      <c r="C9" s="8">
        <v>2</v>
      </c>
      <c r="D9" s="7" t="s">
        <v>12</v>
      </c>
      <c r="E9" s="7" t="s">
        <v>13</v>
      </c>
      <c r="F9" s="6" t="str">
        <f t="shared" si="0"/>
        <v>Ringan</v>
      </c>
      <c r="I9" s="6">
        <f>IF(A9="Coklat",1, 0)</f>
        <v>1</v>
      </c>
      <c r="J9" s="6">
        <f>IF(A9="Hitam", 1, 0)</f>
        <v>0</v>
      </c>
      <c r="K9" s="6">
        <f>IF(A9="Putih", 1, 0)</f>
        <v>0</v>
      </c>
      <c r="M9" s="8">
        <v>0.4</v>
      </c>
      <c r="N9" s="6">
        <f>(B9 - $B$13) / ($B$12 - $B$13)</f>
        <v>1.6750418760469016E-3</v>
      </c>
    </row>
    <row r="10" spans="1:14">
      <c r="A10" s="4" t="s">
        <v>8</v>
      </c>
      <c r="B10" s="5">
        <v>8</v>
      </c>
      <c r="C10" s="5">
        <v>4</v>
      </c>
      <c r="D10" s="4" t="s">
        <v>6</v>
      </c>
      <c r="E10" s="4" t="s">
        <v>7</v>
      </c>
      <c r="F10" s="6" t="str">
        <f t="shared" si="0"/>
        <v>Ringan</v>
      </c>
      <c r="I10" s="6">
        <f>IF(A10="Coklat",1, 0)</f>
        <v>0</v>
      </c>
      <c r="J10" s="6">
        <f>IF(A10="Hitam", 1, 0)</f>
        <v>1</v>
      </c>
      <c r="K10" s="6">
        <f>IF(A10="Putih", 1, 0)</f>
        <v>0</v>
      </c>
      <c r="M10" s="5">
        <v>8</v>
      </c>
      <c r="N10" s="6">
        <f>(B10 - $B$13) / ($B$12 - $B$13)</f>
        <v>0.12897822445561138</v>
      </c>
    </row>
    <row r="11" spans="1:14">
      <c r="A11" s="7" t="s">
        <v>11</v>
      </c>
      <c r="B11" s="8">
        <v>35</v>
      </c>
      <c r="C11" s="8">
        <v>4</v>
      </c>
      <c r="D11" s="7" t="s">
        <v>16</v>
      </c>
      <c r="E11" s="7" t="s">
        <v>17</v>
      </c>
      <c r="F11" s="6" t="str">
        <f t="shared" si="0"/>
        <v>Berat</v>
      </c>
      <c r="I11" s="6">
        <f>IF(A11="Coklat",1, 0)</f>
        <v>0</v>
      </c>
      <c r="J11" s="6">
        <f>IF(A11="Hitam", 1, 0)</f>
        <v>0</v>
      </c>
      <c r="K11" s="6">
        <f>IF(A11="Putih", 1, 0)</f>
        <v>1</v>
      </c>
      <c r="M11" s="8">
        <v>35</v>
      </c>
      <c r="N11" s="6">
        <f>(B11 - $B$13) / ($B$12 - $B$13)</f>
        <v>0.58123953098827474</v>
      </c>
    </row>
    <row r="12" spans="1:14">
      <c r="A12" s="11" t="s">
        <v>28</v>
      </c>
      <c r="B12" s="11">
        <f>MAX(B2:B11)</f>
        <v>60</v>
      </c>
    </row>
    <row r="13" spans="1:14">
      <c r="A13" s="11" t="s">
        <v>29</v>
      </c>
      <c r="B13" s="11">
        <f>MIN(B2:B11)</f>
        <v>0.3</v>
      </c>
    </row>
    <row r="14" spans="1:14">
      <c r="A14" s="11" t="s">
        <v>30</v>
      </c>
      <c r="B14" s="11">
        <f>MAX(C2:C11)</f>
        <v>4</v>
      </c>
      <c r="F14" s="23" t="s">
        <v>26</v>
      </c>
      <c r="G14" s="23" t="s">
        <v>2</v>
      </c>
      <c r="I14" s="22" t="s">
        <v>23</v>
      </c>
      <c r="J14" s="22" t="s">
        <v>24</v>
      </c>
      <c r="K14" s="22" t="s">
        <v>25</v>
      </c>
    </row>
    <row r="15" spans="1:14">
      <c r="A15" s="11" t="s">
        <v>31</v>
      </c>
      <c r="B15" s="11">
        <f>MIN(C2:C11)</f>
        <v>2</v>
      </c>
      <c r="F15" s="5">
        <v>4</v>
      </c>
      <c r="G15" s="6">
        <f>(C2 - $B$15) / ($B$14 - $B$15)</f>
        <v>1</v>
      </c>
      <c r="I15" s="6">
        <f>IF(D2="Gongong",1, 0)</f>
        <v>1</v>
      </c>
      <c r="J15" s="6">
        <f>IF(D2="Meong",1, 0)</f>
        <v>0</v>
      </c>
      <c r="K15" s="6">
        <f>IF(D2="Cit-cit",1, 0)</f>
        <v>0</v>
      </c>
    </row>
    <row r="16" spans="1:14">
      <c r="A16" s="11" t="s">
        <v>32</v>
      </c>
      <c r="B16" s="11">
        <f>AVERAGE(B2:B11)</f>
        <v>19.020000000000003</v>
      </c>
      <c r="F16" s="8">
        <v>4</v>
      </c>
      <c r="G16" s="6">
        <f>(C3 - $B$15) / ($B$14 - $B$15)</f>
        <v>1</v>
      </c>
      <c r="I16" s="6">
        <f>IF(D3="Gongong",1, 0)</f>
        <v>0</v>
      </c>
      <c r="J16" s="6">
        <f>IF(D3="Meong",1, 0)</f>
        <v>1</v>
      </c>
      <c r="K16" s="6">
        <f>IF(D3="Cit-cit",1, 0)</f>
        <v>0</v>
      </c>
    </row>
    <row r="17" spans="1:28">
      <c r="A17" s="11" t="s">
        <v>33</v>
      </c>
      <c r="B17" s="11">
        <f>_xlfn.STDEV.P(B2:B11)</f>
        <v>21.67463033133437</v>
      </c>
      <c r="F17" s="5">
        <v>2</v>
      </c>
      <c r="G17" s="6">
        <f>(C4 - $B$15) / ($B$14 - $B$15)</f>
        <v>0</v>
      </c>
      <c r="I17" s="6">
        <f>IF(D4="Gongong",1, 0)</f>
        <v>0</v>
      </c>
      <c r="J17" s="6">
        <f>IF(D4="Meong",1, 0)</f>
        <v>0</v>
      </c>
      <c r="K17" s="6">
        <f>IF(D4="Cit-cit",1, 0)</f>
        <v>1</v>
      </c>
    </row>
    <row r="18" spans="1:28">
      <c r="A18" s="11" t="s">
        <v>34</v>
      </c>
      <c r="B18" s="11">
        <f>_xlfn.QUARTILE.INC(B2:B11, 1)</f>
        <v>0.625</v>
      </c>
      <c r="F18" s="8">
        <v>4</v>
      </c>
      <c r="G18" s="6">
        <f>(C5 - $B$15) / ($B$14 - $B$15)</f>
        <v>1</v>
      </c>
      <c r="I18" s="6">
        <f>IF(D5="Gongong",1, 0)</f>
        <v>0</v>
      </c>
      <c r="J18" s="6">
        <f>IF(D5="Meong",1, 0)</f>
        <v>0</v>
      </c>
      <c r="K18" s="6">
        <f>IF(D5="Cit-cit",1, 0)</f>
        <v>0</v>
      </c>
      <c r="L18" s="13"/>
      <c r="M18" s="14"/>
    </row>
    <row r="19" spans="1:28">
      <c r="A19" s="11" t="s">
        <v>35</v>
      </c>
      <c r="B19" s="11">
        <f>_xlfn.QUARTILE.INC(B2:B11, 3)</f>
        <v>33.75</v>
      </c>
      <c r="F19" s="5">
        <v>4</v>
      </c>
      <c r="G19" s="6">
        <f>(C6 - $B$15) / ($B$14 - $B$15)</f>
        <v>1</v>
      </c>
      <c r="I19" s="6">
        <f>IF(D6="Gongong",1, 0)</f>
        <v>0</v>
      </c>
      <c r="J19" s="6">
        <f>IF(D6="Meong",1, 0)</f>
        <v>0</v>
      </c>
      <c r="K19" s="6">
        <f>IF(D6="Cit-cit",1, 0)</f>
        <v>0</v>
      </c>
      <c r="L19" s="15"/>
      <c r="M19" s="14"/>
    </row>
    <row r="20" spans="1:28">
      <c r="A20" s="11" t="s">
        <v>36</v>
      </c>
      <c r="B20" s="11">
        <f>B19 - B18</f>
        <v>33.125</v>
      </c>
      <c r="F20" s="8">
        <v>4</v>
      </c>
      <c r="G20" s="6">
        <f>(C7 - $B$15) / ($B$14 - $B$15)</f>
        <v>1</v>
      </c>
      <c r="I20" s="6">
        <f>IF(D7="Gongong",1, 0)</f>
        <v>0</v>
      </c>
      <c r="J20" s="6">
        <f>IF(D7="Meong",1, 0)</f>
        <v>0</v>
      </c>
      <c r="K20" s="6">
        <f>IF(D7="Cit-cit",1, 0)</f>
        <v>0</v>
      </c>
      <c r="L20" s="13"/>
      <c r="M20" s="14"/>
    </row>
    <row r="21" spans="1:28">
      <c r="A21" s="11" t="s">
        <v>37</v>
      </c>
      <c r="B21" s="11">
        <f>B18 - 1.5 * B20</f>
        <v>-49.0625</v>
      </c>
      <c r="F21" s="5">
        <v>4</v>
      </c>
      <c r="G21" s="6">
        <f>(C8 - $B$15) / ($B$14 - $B$15)</f>
        <v>1</v>
      </c>
      <c r="I21" s="6">
        <f>IF(D8="Gongong",1, 0)</f>
        <v>0</v>
      </c>
      <c r="J21" s="6">
        <f>IF(D8="Meong",1, 0)</f>
        <v>1</v>
      </c>
      <c r="K21" s="6">
        <f>IF(D8="Cit-cit",1, 0)</f>
        <v>0</v>
      </c>
      <c r="L21" s="15"/>
      <c r="M21" s="14"/>
    </row>
    <row r="22" spans="1:28">
      <c r="A22" s="12" t="s">
        <v>38</v>
      </c>
      <c r="B22" s="21">
        <f>B19 + 1.5 * B20</f>
        <v>83.4375</v>
      </c>
      <c r="F22" s="8">
        <v>2</v>
      </c>
      <c r="G22" s="6">
        <f>(C9 - $B$15) / ($B$14 - $B$15)</f>
        <v>0</v>
      </c>
      <c r="I22" s="6">
        <f>IF(D9="Gongong",1, 0)</f>
        <v>0</v>
      </c>
      <c r="J22" s="6">
        <f>IF(D9="Meong",1, 0)</f>
        <v>0</v>
      </c>
      <c r="K22" s="6">
        <f>IF(D9="Cit-cit",1, 0)</f>
        <v>1</v>
      </c>
      <c r="L22" s="13"/>
      <c r="M22" s="14"/>
    </row>
    <row r="23" spans="1:28">
      <c r="F23" s="5">
        <v>4</v>
      </c>
      <c r="G23" s="6">
        <f>(C10 - $B$15) / ($B$14 - $B$15)</f>
        <v>1</v>
      </c>
      <c r="I23" s="6">
        <f>IF(D10="Gongong",1, 0)</f>
        <v>1</v>
      </c>
      <c r="J23" s="6">
        <f>IF(D10="Meong",1, 0)</f>
        <v>0</v>
      </c>
      <c r="K23" s="6">
        <f>IF(D10="Cit-cit",1, 0)</f>
        <v>0</v>
      </c>
      <c r="L23" s="15"/>
      <c r="M23" s="14"/>
      <c r="V23" s="14"/>
      <c r="W23" s="14"/>
      <c r="X23" s="14"/>
      <c r="Y23" s="14"/>
      <c r="Z23" s="14"/>
      <c r="AA23" s="14"/>
      <c r="AB23" s="14"/>
    </row>
    <row r="24" spans="1:28">
      <c r="I24" s="6">
        <f>IF(D11="Gongong",1, 0)</f>
        <v>0</v>
      </c>
      <c r="J24" s="6">
        <f>IF(D11="Meong",1, 0)</f>
        <v>0</v>
      </c>
      <c r="K24" s="6">
        <f>IF(D11="Cit-cit",1, 0)</f>
        <v>0</v>
      </c>
      <c r="L24" s="13"/>
      <c r="M24" s="14"/>
      <c r="V24" s="14"/>
      <c r="W24" s="29"/>
      <c r="X24" s="29"/>
      <c r="Y24" s="29"/>
      <c r="Z24" s="29"/>
      <c r="AA24" s="29"/>
      <c r="AB24" s="14"/>
    </row>
    <row r="25" spans="1:28">
      <c r="L25" s="15"/>
      <c r="M25" s="14"/>
      <c r="V25" s="14"/>
      <c r="W25" s="13"/>
      <c r="X25" s="27"/>
      <c r="Y25" s="27"/>
      <c r="Z25" s="13"/>
      <c r="AA25" s="13"/>
      <c r="AB25" s="14"/>
    </row>
    <row r="26" spans="1:28">
      <c r="L26" s="13"/>
      <c r="M26" s="14"/>
      <c r="V26" s="14"/>
      <c r="W26" s="15"/>
      <c r="X26" s="28"/>
      <c r="Y26" s="28"/>
      <c r="Z26" s="15"/>
      <c r="AA26" s="13"/>
      <c r="AB26" s="14"/>
    </row>
    <row r="27" spans="1:28">
      <c r="L27" s="15"/>
      <c r="M27" s="14"/>
      <c r="V27" s="14"/>
      <c r="W27" s="13"/>
      <c r="X27" s="27"/>
      <c r="Y27" s="27"/>
      <c r="Z27" s="13"/>
      <c r="AA27" s="13"/>
      <c r="AB27" s="14"/>
    </row>
    <row r="28" spans="1:28" ht="15.6">
      <c r="C28" s="30" t="s">
        <v>41</v>
      </c>
      <c r="V28" s="14"/>
      <c r="W28" s="15"/>
      <c r="X28" s="28"/>
      <c r="Y28" s="28"/>
      <c r="Z28" s="15"/>
      <c r="AA28" s="13"/>
      <c r="AB28" s="14"/>
    </row>
    <row r="29" spans="1:28">
      <c r="C29" s="16" t="s">
        <v>1</v>
      </c>
      <c r="D29" s="16" t="s">
        <v>2</v>
      </c>
      <c r="E29" s="16" t="s">
        <v>3</v>
      </c>
      <c r="F29" s="16" t="s">
        <v>0</v>
      </c>
      <c r="G29" s="16" t="s">
        <v>4</v>
      </c>
      <c r="V29" s="14"/>
      <c r="W29" s="13"/>
      <c r="X29" s="27"/>
      <c r="Y29" s="27"/>
      <c r="Z29" s="13"/>
      <c r="AA29" s="13"/>
      <c r="AB29" s="14"/>
    </row>
    <row r="30" spans="1:28">
      <c r="C30" s="17">
        <v>45</v>
      </c>
      <c r="D30" s="17">
        <v>4</v>
      </c>
      <c r="E30" s="17" t="s">
        <v>14</v>
      </c>
      <c r="F30" s="17" t="s">
        <v>5</v>
      </c>
      <c r="G30" s="17" t="s">
        <v>19</v>
      </c>
      <c r="V30" s="14"/>
      <c r="W30" s="15"/>
      <c r="X30" s="28"/>
      <c r="Y30" s="28"/>
      <c r="Z30" s="15"/>
      <c r="AA30" s="13"/>
      <c r="AB30" s="14"/>
    </row>
    <row r="31" spans="1:28">
      <c r="V31" s="14"/>
      <c r="W31" s="13"/>
      <c r="X31" s="27"/>
      <c r="Y31" s="27"/>
      <c r="Z31" s="13"/>
      <c r="AA31" s="13"/>
      <c r="AB31" s="14"/>
    </row>
    <row r="32" spans="1:28" ht="15.6">
      <c r="C32" s="31" t="s">
        <v>44</v>
      </c>
      <c r="D32" s="31"/>
      <c r="V32" s="14"/>
      <c r="W32" s="15"/>
      <c r="X32" s="28"/>
      <c r="Y32" s="28"/>
      <c r="Z32" s="15"/>
      <c r="AA32" s="13"/>
      <c r="AB32" s="14"/>
    </row>
    <row r="33" spans="3:28" ht="26.4">
      <c r="C33" s="34" t="s">
        <v>39</v>
      </c>
      <c r="D33" s="34" t="s">
        <v>40</v>
      </c>
      <c r="G33" s="3" t="s">
        <v>4</v>
      </c>
      <c r="H33" s="3" t="s">
        <v>45</v>
      </c>
      <c r="J33" s="26" t="s">
        <v>46</v>
      </c>
      <c r="K33" s="26"/>
      <c r="V33" s="14"/>
      <c r="W33" s="13"/>
      <c r="X33" s="27"/>
      <c r="Y33" s="27"/>
      <c r="Z33" s="13"/>
      <c r="AA33" s="13"/>
      <c r="AB33" s="14"/>
    </row>
    <row r="34" spans="3:28">
      <c r="C34" s="35" t="s">
        <v>42</v>
      </c>
      <c r="D34" s="35">
        <f>(45-$B$13) / ($B$12 - $B$13)</f>
        <v>0.74874371859296485</v>
      </c>
      <c r="G34" s="4" t="s">
        <v>7</v>
      </c>
      <c r="H34" s="4">
        <f>SQRT((0.748744-0.078727)^2 + (1-1)^2 + (1-1)^2 + (1-0)^2)</f>
        <v>1.2037120836350359</v>
      </c>
      <c r="J34" s="24" t="str" cm="1">
        <f t="array" ref="J34:K43">_xlfn._xlws.SORT(G34:H43,2,1)</f>
        <v>Sapi</v>
      </c>
      <c r="K34" s="24">
        <v>8.3752000000000049E-2</v>
      </c>
      <c r="V34" s="14"/>
      <c r="W34" s="15"/>
      <c r="X34" s="28"/>
      <c r="Y34" s="28"/>
      <c r="Z34" s="15"/>
      <c r="AA34" s="13"/>
      <c r="AB34" s="14"/>
    </row>
    <row r="35" spans="3:28">
      <c r="C35" s="35" t="s">
        <v>43</v>
      </c>
      <c r="D35" s="35">
        <v>1</v>
      </c>
      <c r="G35" s="7" t="s">
        <v>10</v>
      </c>
      <c r="H35" s="7">
        <f>SQRT((0.748744-0.00335)^2 + (1-1)^2 + (1-0)^2 + (1-0)^2)</f>
        <v>1.5986282292127836</v>
      </c>
      <c r="J35" s="24" t="str">
        <v>Sapi</v>
      </c>
      <c r="K35" s="24">
        <v>1.0310817511410042</v>
      </c>
    </row>
    <row r="36" spans="3:28" ht="15.6" customHeight="1">
      <c r="C36" s="17" t="s">
        <v>3</v>
      </c>
      <c r="D36" s="17" t="s">
        <v>14</v>
      </c>
      <c r="G36" s="4" t="s">
        <v>13</v>
      </c>
      <c r="H36" s="4">
        <f>SQRT((0.748744-0)^2 + (1-0)^2 + (1-0)^2 + (1-0)^2)</f>
        <v>1.8869598770339553</v>
      </c>
      <c r="J36" s="24" t="str">
        <v>Kuda</v>
      </c>
      <c r="K36" s="24">
        <v>1.0310819948233991</v>
      </c>
    </row>
    <row r="37" spans="3:28">
      <c r="C37" s="35" t="s">
        <v>0</v>
      </c>
      <c r="D37" s="35" t="s">
        <v>5</v>
      </c>
      <c r="G37" s="7" t="s">
        <v>15</v>
      </c>
      <c r="H37" s="7">
        <f>SQRT((0.748744-0.832496)^2 + (1-1)^2 + (1-1)^2 + (1-1)^2)</f>
        <v>8.3752000000000049E-2</v>
      </c>
      <c r="J37" s="24" t="str">
        <v>Anjing</v>
      </c>
      <c r="K37" s="24">
        <v>1.2037120836350359</v>
      </c>
    </row>
    <row r="38" spans="3:28">
      <c r="C38" s="35" t="s">
        <v>4</v>
      </c>
      <c r="D38" s="35" t="s">
        <v>19</v>
      </c>
      <c r="G38" s="4" t="s">
        <v>15</v>
      </c>
      <c r="H38" s="4">
        <f>SQRT((0.748744-1)^2 + (1-1)^2 + (1-0)^2 + (1-1)^2)</f>
        <v>1.0310817511410042</v>
      </c>
      <c r="J38" s="24" t="str">
        <v>Kuda</v>
      </c>
      <c r="K38" s="24">
        <v>1.424098869466583</v>
      </c>
    </row>
    <row r="39" spans="3:28" ht="15.6">
      <c r="E39" s="30"/>
      <c r="G39" s="7" t="s">
        <v>17</v>
      </c>
      <c r="H39" s="7">
        <f>SQRT((0.748744-0.497487)^2 + (1-1)^2 + (1-1)^2 + (1-0)^2)</f>
        <v>1.0310819948233991</v>
      </c>
      <c r="J39" s="24" t="str">
        <v>Anjing</v>
      </c>
      <c r="K39" s="24">
        <v>1.5440563120417596</v>
      </c>
    </row>
    <row r="40" spans="3:28">
      <c r="G40" s="4" t="s">
        <v>10</v>
      </c>
      <c r="H40" s="4">
        <f>SQRT((0.748744-0.011725)^2 + (1-1)^2 + (1-0)^2 + (1-0)^2)</f>
        <v>1.5947404197426613</v>
      </c>
      <c r="J40" s="24" t="str">
        <v>Kucing</v>
      </c>
      <c r="K40" s="24">
        <v>1.5947404197426613</v>
      </c>
    </row>
    <row r="41" spans="3:28">
      <c r="G41" s="7" t="s">
        <v>13</v>
      </c>
      <c r="H41" s="7">
        <f>SQRT((0.748744-0.001675)^2 + (1-0)^2 + (1-1)^2 + (1-0)^2)</f>
        <v>1.5994099195518952</v>
      </c>
      <c r="J41" s="24" t="str">
        <v>Kucing</v>
      </c>
      <c r="K41" s="24">
        <v>1.5986282292127836</v>
      </c>
    </row>
    <row r="42" spans="3:28">
      <c r="G42" s="4" t="s">
        <v>7</v>
      </c>
      <c r="H42" s="4">
        <f>SQRT((0.748744-0.128978)^2 + (1-1)^2 + (1-0)^2 + (1-0)^2)</f>
        <v>1.5440563120417596</v>
      </c>
      <c r="J42" s="24" t="str">
        <v>Burung</v>
      </c>
      <c r="K42" s="24">
        <v>1.5994099195518952</v>
      </c>
    </row>
    <row r="43" spans="3:28">
      <c r="G43" s="7" t="s">
        <v>17</v>
      </c>
      <c r="H43" s="7">
        <f>SQRT((0.748744-0.58124)^2 + (1-1)^2 + (1-0)^2 + (1-0)^2)</f>
        <v>1.424098869466583</v>
      </c>
      <c r="J43" s="24" t="str">
        <v>Burung</v>
      </c>
      <c r="K43" s="24">
        <v>1.8869598770339553</v>
      </c>
    </row>
    <row r="46" spans="3:28" ht="18">
      <c r="C46" s="36" t="s">
        <v>55</v>
      </c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</row>
    <row r="47" spans="3:28">
      <c r="C47" s="38" t="s">
        <v>47</v>
      </c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</row>
    <row r="48" spans="3:28"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</row>
    <row r="49" spans="1:32" ht="15" customHeight="1"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2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</row>
    <row r="50" spans="1:32">
      <c r="C50" s="37" t="s">
        <v>48</v>
      </c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</row>
    <row r="51" spans="1:32">
      <c r="A51" s="14"/>
      <c r="B51" s="14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</row>
    <row r="52" spans="1:32">
      <c r="C52" s="38" t="s">
        <v>49</v>
      </c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</row>
    <row r="53" spans="1:32"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</row>
    <row r="54" spans="1:32"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</row>
    <row r="55" spans="1:32">
      <c r="C55" s="37" t="s">
        <v>50</v>
      </c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</row>
    <row r="56" spans="1:32"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</row>
    <row r="57" spans="1:32">
      <c r="C57" s="38" t="s">
        <v>51</v>
      </c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</row>
    <row r="58" spans="1:32"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</row>
    <row r="59" spans="1:32"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</row>
    <row r="60" spans="1:32">
      <c r="C60" s="37" t="s">
        <v>52</v>
      </c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</row>
    <row r="61" spans="1:32"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</row>
    <row r="62" spans="1:32">
      <c r="A62" s="18"/>
      <c r="B62" s="18"/>
      <c r="C62" s="38" t="s">
        <v>53</v>
      </c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</row>
    <row r="63" spans="1:32">
      <c r="A63" s="19"/>
      <c r="B63" s="20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</row>
    <row r="64" spans="1:32">
      <c r="A64" s="19"/>
      <c r="B64" s="20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</row>
    <row r="65" spans="1:32">
      <c r="A65" s="19"/>
      <c r="B65" s="20"/>
      <c r="C65" s="37" t="s">
        <v>54</v>
      </c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</row>
    <row r="66" spans="1:32">
      <c r="A66" s="19"/>
      <c r="B66" s="20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</row>
    <row r="67" spans="1:32">
      <c r="A67" s="19"/>
      <c r="B67" s="20"/>
    </row>
    <row r="70" spans="1:32" ht="18">
      <c r="A70" s="1"/>
    </row>
  </sheetData>
  <mergeCells count="38">
    <mergeCell ref="C60:O60"/>
    <mergeCell ref="C61:O61"/>
    <mergeCell ref="C62:O62"/>
    <mergeCell ref="C63:O63"/>
    <mergeCell ref="C64:O64"/>
    <mergeCell ref="C65:O65"/>
    <mergeCell ref="C54:O54"/>
    <mergeCell ref="C55:O55"/>
    <mergeCell ref="C56:O56"/>
    <mergeCell ref="C57:O57"/>
    <mergeCell ref="C58:O58"/>
    <mergeCell ref="C59:O59"/>
    <mergeCell ref="P66:AF66"/>
    <mergeCell ref="C46:O46"/>
    <mergeCell ref="C47:O47"/>
    <mergeCell ref="C48:O48"/>
    <mergeCell ref="C49:O49"/>
    <mergeCell ref="C50:O50"/>
    <mergeCell ref="C51:O51"/>
    <mergeCell ref="C52:O52"/>
    <mergeCell ref="C53:O53"/>
    <mergeCell ref="P60:AF60"/>
    <mergeCell ref="P61:AF61"/>
    <mergeCell ref="P62:AF62"/>
    <mergeCell ref="P63:AF63"/>
    <mergeCell ref="P64:AF64"/>
    <mergeCell ref="P65:AF65"/>
    <mergeCell ref="P54:AF54"/>
    <mergeCell ref="P55:AF55"/>
    <mergeCell ref="P56:AF56"/>
    <mergeCell ref="P57:AF57"/>
    <mergeCell ref="P58:AF58"/>
    <mergeCell ref="P59:AF59"/>
    <mergeCell ref="J33:K33"/>
    <mergeCell ref="P50:AF50"/>
    <mergeCell ref="P51:AF51"/>
    <mergeCell ref="P52:AF52"/>
    <mergeCell ref="P53:AF5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 COM</dc:creator>
  <cp:lastModifiedBy>HAPPY COM</cp:lastModifiedBy>
  <dcterms:created xsi:type="dcterms:W3CDTF">2024-10-21T23:32:48Z</dcterms:created>
  <dcterms:modified xsi:type="dcterms:W3CDTF">2024-10-22T15:07:37Z</dcterms:modified>
</cp:coreProperties>
</file>